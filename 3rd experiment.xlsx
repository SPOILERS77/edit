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NEETH RAJ M R\Desktop\pptnishant-main\pptnishant-main\"/>
    </mc:Choice>
  </mc:AlternateContent>
  <xr:revisionPtr revIDLastSave="0" documentId="13_ncr:1_{4C7DF8F8-C294-4D0A-913D-9C82D1A6E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9" i="1"/>
  <c r="I10" i="1"/>
  <c r="I11" i="1"/>
  <c r="I1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F2" i="1"/>
  <c r="H2" i="1" s="1"/>
  <c r="I2" i="1" s="1"/>
  <c r="F3" i="1"/>
  <c r="H3" i="1" s="1"/>
  <c r="I3" i="1" s="1"/>
  <c r="F4" i="1"/>
  <c r="H4" i="1" s="1"/>
  <c r="I4" i="1" s="1"/>
  <c r="F5" i="1"/>
  <c r="H5" i="1" s="1"/>
  <c r="I5" i="1" s="1"/>
  <c r="F6" i="1"/>
  <c r="H6" i="1" s="1"/>
  <c r="J6" i="1" s="1"/>
  <c r="F7" i="1"/>
  <c r="H7" i="1" s="1"/>
  <c r="F8" i="1"/>
  <c r="H8" i="1" s="1"/>
  <c r="I8" i="1" s="1"/>
  <c r="F9" i="1"/>
  <c r="H9" i="1" s="1"/>
  <c r="F10" i="1"/>
  <c r="H10" i="1" s="1"/>
  <c r="J10" i="1" s="1"/>
  <c r="F11" i="1"/>
  <c r="H11" i="1" s="1"/>
  <c r="F12" i="1"/>
  <c r="H12" i="1" s="1"/>
  <c r="I12" i="1" s="1"/>
  <c r="F13" i="1"/>
  <c r="H13" i="1" s="1"/>
  <c r="F14" i="1"/>
  <c r="H14" i="1" s="1"/>
  <c r="I14" i="1" s="1"/>
  <c r="I6" i="1" l="1"/>
  <c r="J14" i="1"/>
  <c r="J13" i="1"/>
  <c r="J2" i="1"/>
  <c r="J5" i="1"/>
  <c r="J7" i="1"/>
  <c r="J9" i="1"/>
  <c r="J11" i="1"/>
  <c r="J12" i="1"/>
  <c r="J4" i="1"/>
  <c r="J8" i="1"/>
  <c r="J3" i="1"/>
</calcChain>
</file>

<file path=xl/sharedStrings.xml><?xml version="1.0" encoding="utf-8"?>
<sst xmlns="http://schemas.openxmlformats.org/spreadsheetml/2006/main" count="31" uniqueCount="31">
  <si>
    <t>Student Name</t>
  </si>
  <si>
    <t>Attendence</t>
  </si>
  <si>
    <t>CIE 1</t>
  </si>
  <si>
    <t>CIE 2</t>
  </si>
  <si>
    <t>CIE 3</t>
  </si>
  <si>
    <t>TOTAL MARKS</t>
  </si>
  <si>
    <t>AVERAGE CIE</t>
  </si>
  <si>
    <t>PERCENTAGE</t>
  </si>
  <si>
    <t>DESCRIPTION</t>
  </si>
  <si>
    <t>GROUP</t>
  </si>
  <si>
    <t>average=</t>
  </si>
  <si>
    <t>percentage=</t>
  </si>
  <si>
    <t>(cie1+cie2+cie3)/3</t>
  </si>
  <si>
    <t>(total marks/120)*100</t>
  </si>
  <si>
    <t>description=</t>
  </si>
  <si>
    <t>if(percentage&gt;=85,"fast",if(percentage&lt;=45,"slow"))</t>
  </si>
  <si>
    <t>if(and(percentege&gt;=85,total marks&gt;=20),"eligible","ineligible")</t>
  </si>
  <si>
    <t>group=</t>
  </si>
  <si>
    <t>PUNI</t>
  </si>
  <si>
    <t>SHARATH</t>
  </si>
  <si>
    <t>MANU</t>
  </si>
  <si>
    <t>HOLLA</t>
  </si>
  <si>
    <t>RAJ</t>
  </si>
  <si>
    <t>PRAJWAL</t>
  </si>
  <si>
    <t>PARSHURAM</t>
  </si>
  <si>
    <t>AKASHY</t>
  </si>
  <si>
    <t>GIRI</t>
  </si>
  <si>
    <t>DINESH</t>
  </si>
  <si>
    <t>SANJEEV</t>
  </si>
  <si>
    <t>SANJU</t>
  </si>
  <si>
    <t>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</si>
</sst>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4" totalsRowShown="0">
  <autoFilter ref="A1:J14" xr:uid="{00000000-0009-0000-0100-000001000000}"/>
  <tableColumns count="10">
    <tableColumn id="1" xr3:uid="{00000000-0010-0000-0000-000001000000}" name="Student Name"/>
    <tableColumn id="2" xr3:uid="{00000000-0010-0000-0000-000002000000}" name="Attendence"/>
    <tableColumn id="3" xr3:uid="{00000000-0010-0000-0000-000003000000}" name="CIE 1"/>
    <tableColumn id="4" xr3:uid="{00000000-0010-0000-0000-000004000000}" name="CIE 2"/>
    <tableColumn id="5" xr3:uid="{00000000-0010-0000-0000-000005000000}" name="CIE 3"/>
    <tableColumn id="6" xr3:uid="{00000000-0010-0000-0000-000006000000}" name="TOTAL MARKS" dataDxfId="4">
      <calculatedColumnFormula>SUM(Table1[[#This Row],[CIE 1]:[CIE 3]])</calculatedColumnFormula>
    </tableColumn>
    <tableColumn id="7" xr3:uid="{00000000-0010-0000-0000-000007000000}" name="AVERAGE CIE" dataDxfId="3">
      <calculatedColumnFormula>AVERAGE(Table1[[#This Row],[CIE 1]],Table1[[#This Row],[CIE 2]],Table1[[#This Row],[CIE 3]])</calculatedColumnFormula>
    </tableColumn>
    <tableColumn id="8" xr3:uid="{00000000-0010-0000-0000-000008000000}" name="PERCENTAGE" dataDxfId="2">
      <calculatedColumnFormula>(Table1[[#This Row],[TOTAL MARKS]]/120)*100</calculatedColumnFormula>
    </tableColumn>
    <tableColumn id="9" xr3:uid="{00000000-0010-0000-0000-000009000000}" name="DESCRIPTION" dataDxfId="0">
      <calculatedColumnFormula>IF(AND(Table1[[#This Row],[PERCENTAGE]]&gt;=85,Table1[[#This Row],[TOTAL MARKS]]&gt;=20),"ELIGIBLE","INELIGIBLE")</calculatedColumnFormula>
    </tableColumn>
    <tableColumn id="10" xr3:uid="{00000000-0010-0000-0000-00000A000000}" name="GROUP" dataDxfId="1">
      <calculatedColumnFormula>IF(Table1[[#This Row],[PERCENTAGE]]&gt;=85,"FAST LEARNER",IF(Table1[[#This Row],[PERCENTAGE]]&lt;=45,"SLOW LEARNER","-"))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14" sqref="A14"/>
    </sheetView>
  </sheetViews>
  <sheetFormatPr defaultRowHeight="15" x14ac:dyDescent="0.25"/>
  <cols>
    <col min="1" max="1" width="16.42578125" customWidth="1"/>
    <col min="2" max="2" width="14.5703125" customWidth="1"/>
    <col min="3" max="5" width="11" customWidth="1"/>
    <col min="6" max="6" width="18" customWidth="1"/>
    <col min="7" max="7" width="17" customWidth="1"/>
    <col min="8" max="8" width="17.140625" customWidth="1"/>
    <col min="9" max="9" width="16.28515625" customWidth="1"/>
    <col min="10" max="10" width="16.85546875" customWidth="1"/>
    <col min="13" max="13" width="13.28515625" customWidth="1"/>
    <col min="14" max="14" width="58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18</v>
      </c>
      <c r="B2">
        <v>86</v>
      </c>
      <c r="C2">
        <v>40</v>
      </c>
      <c r="D2">
        <v>29</v>
      </c>
      <c r="E2">
        <v>35</v>
      </c>
      <c r="F2">
        <f>SUM(Table1[[#This Row],[CIE 1]:[CIE 3]])</f>
        <v>104</v>
      </c>
      <c r="G2">
        <f>AVERAGE(Table1[[#This Row],[CIE 1]],Table1[[#This Row],[CIE 2]],Table1[[#This Row],[CIE 3]])</f>
        <v>34.666666666666664</v>
      </c>
      <c r="H2">
        <f>(Table1[[#This Row],[TOTAL MARKS]]/120)*100</f>
        <v>86.666666666666671</v>
      </c>
      <c r="I2" t="str">
        <f>IF(AND(Table1[[#This Row],[PERCENTAGE]]&gt;=85,Table1[[#This Row],[TOTAL MARKS]]&gt;=20),"ELIGIBLE","INELIGIBLE")</f>
        <v>ELIGIBLE</v>
      </c>
      <c r="J2" t="str">
        <f>IF(Table1[[#This Row],[PERCENTAGE]]&gt;=85,"FAST LEARNER",IF(Table1[[#This Row],[PERCENTAGE]]&lt;=45,"SLOW LEARNER","-"))</f>
        <v>FAST LEARNER</v>
      </c>
      <c r="M2" t="s">
        <v>10</v>
      </c>
      <c r="N2" t="s">
        <v>12</v>
      </c>
    </row>
    <row r="3" spans="1:14" x14ac:dyDescent="0.25">
      <c r="A3" t="s">
        <v>19</v>
      </c>
      <c r="B3">
        <v>67</v>
      </c>
      <c r="C3">
        <v>39</v>
      </c>
      <c r="D3">
        <v>30</v>
      </c>
      <c r="E3">
        <v>23</v>
      </c>
      <c r="F3">
        <f>SUM(Table1[[#This Row],[CIE 1]:[CIE 3]])</f>
        <v>92</v>
      </c>
      <c r="G3">
        <f>AVERAGE(Table1[[#This Row],[CIE 1]],Table1[[#This Row],[CIE 2]],Table1[[#This Row],[CIE 3]])</f>
        <v>30.666666666666668</v>
      </c>
      <c r="H3">
        <f>(Table1[[#This Row],[TOTAL MARKS]]/120)*100</f>
        <v>76.666666666666671</v>
      </c>
      <c r="I3" t="str">
        <f>IF(AND(Table1[[#This Row],[PERCENTAGE]]&gt;=85,Table1[[#This Row],[TOTAL MARKS]]&gt;=20),"ELIGIBLE","INELIGIBLE")</f>
        <v>INELIGIBLE</v>
      </c>
      <c r="J3" t="str">
        <f>IF(Table1[[#This Row],[PERCENTAGE]]&gt;=85,"FAST LEARNER",IF(Table1[[#This Row],[PERCENTAGE]]&lt;=45,"SLOW LEARNER","-"))</f>
        <v>-</v>
      </c>
    </row>
    <row r="4" spans="1:14" x14ac:dyDescent="0.25">
      <c r="A4" t="s">
        <v>20</v>
      </c>
      <c r="B4">
        <v>100</v>
      </c>
      <c r="C4">
        <v>38</v>
      </c>
      <c r="D4">
        <v>31</v>
      </c>
      <c r="E4">
        <v>34</v>
      </c>
      <c r="F4">
        <f>SUM(Table1[[#This Row],[CIE 1]:[CIE 3]])</f>
        <v>103</v>
      </c>
      <c r="G4">
        <f>AVERAGE(Table1[[#This Row],[CIE 1]],Table1[[#This Row],[CIE 2]],Table1[[#This Row],[CIE 3]])</f>
        <v>34.333333333333336</v>
      </c>
      <c r="H4">
        <f>(Table1[[#This Row],[TOTAL MARKS]]/120)*100</f>
        <v>85.833333333333329</v>
      </c>
      <c r="I4" t="str">
        <f>IF(AND(Table1[[#This Row],[PERCENTAGE]]&gt;=85,Table1[[#This Row],[TOTAL MARKS]]&gt;=20),"ELIGIBLE","INELIGIBLE")</f>
        <v>ELIGIBLE</v>
      </c>
      <c r="J4" t="str">
        <f>IF(Table1[[#This Row],[PERCENTAGE]]&gt;=85,"FAST LEARNER",IF(Table1[[#This Row],[PERCENTAGE]]&lt;=45,"SLOW LEARNER","-"))</f>
        <v>FAST LEARNER</v>
      </c>
      <c r="M4" t="s">
        <v>11</v>
      </c>
      <c r="N4" t="s">
        <v>13</v>
      </c>
    </row>
    <row r="5" spans="1:14" x14ac:dyDescent="0.25">
      <c r="A5" t="s">
        <v>21</v>
      </c>
      <c r="B5">
        <v>94</v>
      </c>
      <c r="C5">
        <v>37</v>
      </c>
      <c r="D5">
        <v>29</v>
      </c>
      <c r="E5">
        <v>20</v>
      </c>
      <c r="F5">
        <f>SUM(Table1[[#This Row],[CIE 1]:[CIE 3]])</f>
        <v>86</v>
      </c>
      <c r="G5">
        <f>AVERAGE(Table1[[#This Row],[CIE 1]],Table1[[#This Row],[CIE 2]],Table1[[#This Row],[CIE 3]])</f>
        <v>28.666666666666668</v>
      </c>
      <c r="H5">
        <f>(Table1[[#This Row],[TOTAL MARKS]]/120)*100</f>
        <v>71.666666666666671</v>
      </c>
      <c r="I5" t="str">
        <f>IF(AND(Table1[[#This Row],[PERCENTAGE]]&gt;=85,Table1[[#This Row],[TOTAL MARKS]]&gt;=20),"ELIGIBLE","INELIGIBLE")</f>
        <v>INELIGIBLE</v>
      </c>
      <c r="J5" t="str">
        <f>IF(Table1[[#This Row],[PERCENTAGE]]&gt;=85,"FAST LEARNER",IF(Table1[[#This Row],[PERCENTAGE]]&lt;=45,"SLOW LEARNER","-"))</f>
        <v>-</v>
      </c>
    </row>
    <row r="6" spans="1:14" x14ac:dyDescent="0.25">
      <c r="A6" t="s">
        <v>22</v>
      </c>
      <c r="B6">
        <v>78</v>
      </c>
      <c r="C6">
        <v>30</v>
      </c>
      <c r="D6">
        <v>40</v>
      </c>
      <c r="E6">
        <v>19</v>
      </c>
      <c r="F6">
        <f>SUM(Table1[[#This Row],[CIE 1]:[CIE 3]])</f>
        <v>89</v>
      </c>
      <c r="G6">
        <f>AVERAGE(Table1[[#This Row],[CIE 1]],Table1[[#This Row],[CIE 2]],Table1[[#This Row],[CIE 3]])</f>
        <v>29.666666666666668</v>
      </c>
      <c r="H6">
        <f>(Table1[[#This Row],[TOTAL MARKS]]/120)*100</f>
        <v>74.166666666666671</v>
      </c>
      <c r="I6" t="str">
        <f>IF(AND(Table1[[#This Row],[PERCENTAGE]]&gt;=85,Table1[[#This Row],[TOTAL MARKS]]&gt;=20),"ELIGIBLE","INELIGIBLE")</f>
        <v>INELIGIBLE</v>
      </c>
      <c r="J6" t="str">
        <f>IF(Table1[[#This Row],[PERCENTAGE]]&gt;=85,"FAST LEARNER",IF(Table1[[#This Row],[PERCENTAGE]]&lt;=45,"SLOW LEARNER","-"))</f>
        <v>-</v>
      </c>
      <c r="M6" t="s">
        <v>14</v>
      </c>
      <c r="N6" t="s">
        <v>16</v>
      </c>
    </row>
    <row r="7" spans="1:14" x14ac:dyDescent="0.25">
      <c r="A7" t="s">
        <v>23</v>
      </c>
      <c r="B7">
        <v>86</v>
      </c>
      <c r="C7">
        <v>28</v>
      </c>
      <c r="D7">
        <v>40</v>
      </c>
      <c r="E7">
        <v>33</v>
      </c>
      <c r="F7">
        <f>SUM(Table1[[#This Row],[CIE 1]:[CIE 3]])</f>
        <v>101</v>
      </c>
      <c r="G7">
        <f>AVERAGE(Table1[[#This Row],[CIE 1]],Table1[[#This Row],[CIE 2]],Table1[[#This Row],[CIE 3]])</f>
        <v>33.666666666666664</v>
      </c>
      <c r="H7">
        <f>(Table1[[#This Row],[TOTAL MARKS]]/120)*100</f>
        <v>84.166666666666671</v>
      </c>
      <c r="I7" t="str">
        <f>IF(AND(Table1[[#This Row],[PERCENTAGE]]&gt;=85,Table1[[#This Row],[TOTAL MARKS]]&gt;=20),"ELIGIBLE","INELIGIBLE")</f>
        <v>INELIGIBLE</v>
      </c>
      <c r="J7" t="str">
        <f>IF(Table1[[#This Row],[PERCENTAGE]]&gt;=85,"FAST LEARNER",IF(Table1[[#This Row],[PERCENTAGE]]&lt;=45,"SLOW LEARNER","-"))</f>
        <v>-</v>
      </c>
    </row>
    <row r="8" spans="1:14" x14ac:dyDescent="0.25">
      <c r="A8" t="s">
        <v>24</v>
      </c>
      <c r="B8">
        <v>82</v>
      </c>
      <c r="C8">
        <v>26</v>
      </c>
      <c r="D8">
        <v>19</v>
      </c>
      <c r="E8">
        <v>32</v>
      </c>
      <c r="F8">
        <f>SUM(Table1[[#This Row],[CIE 1]:[CIE 3]])</f>
        <v>77</v>
      </c>
      <c r="G8">
        <f>AVERAGE(Table1[[#This Row],[CIE 1]],Table1[[#This Row],[CIE 2]],Table1[[#This Row],[CIE 3]])</f>
        <v>25.666666666666668</v>
      </c>
      <c r="H8">
        <f>(Table1[[#This Row],[TOTAL MARKS]]/120)*100</f>
        <v>64.166666666666671</v>
      </c>
      <c r="I8" t="str">
        <f>IF(AND(Table1[[#This Row],[PERCENTAGE]]&gt;=85,Table1[[#This Row],[TOTAL MARKS]]&gt;=20),"ELIGIBLE","INELIGIBLE")</f>
        <v>INELIGIBLE</v>
      </c>
      <c r="J8" t="str">
        <f>IF(Table1[[#This Row],[PERCENTAGE]]&gt;=85,"FAST LEARNER",IF(Table1[[#This Row],[PERCENTAGE]]&lt;=45,"SLOW LEARNER","-"))</f>
        <v>-</v>
      </c>
      <c r="M8" t="s">
        <v>17</v>
      </c>
      <c r="N8" t="s">
        <v>15</v>
      </c>
    </row>
    <row r="9" spans="1:14" x14ac:dyDescent="0.25">
      <c r="A9" t="s">
        <v>25</v>
      </c>
      <c r="B9">
        <v>23</v>
      </c>
      <c r="C9">
        <v>25</v>
      </c>
      <c r="D9">
        <v>32</v>
      </c>
      <c r="E9">
        <v>27</v>
      </c>
      <c r="F9">
        <f>SUM(Table1[[#This Row],[CIE 1]:[CIE 3]])</f>
        <v>84</v>
      </c>
      <c r="G9">
        <f>AVERAGE(Table1[[#This Row],[CIE 1]],Table1[[#This Row],[CIE 2]],Table1[[#This Row],[CIE 3]])</f>
        <v>28</v>
      </c>
      <c r="H9">
        <f>(Table1[[#This Row],[TOTAL MARKS]]/120)*100</f>
        <v>70</v>
      </c>
      <c r="I9" t="str">
        <f>IF(AND(Table1[[#This Row],[PERCENTAGE]]&gt;=85,Table1[[#This Row],[TOTAL MARKS]]&gt;=20),"ELIGIBLE","INELIGIBLE")</f>
        <v>INELIGIBLE</v>
      </c>
      <c r="J9" t="str">
        <f>IF(Table1[[#This Row],[PERCENTAGE]]&gt;=85,"FAST LEARNER",IF(Table1[[#This Row],[PERCENTAGE]]&lt;=45,"SLOW LEARNER","-"))</f>
        <v>-</v>
      </c>
    </row>
    <row r="10" spans="1:14" x14ac:dyDescent="0.25">
      <c r="A10" t="s">
        <v>26</v>
      </c>
      <c r="B10">
        <v>34</v>
      </c>
      <c r="C10">
        <v>22</v>
      </c>
      <c r="D10">
        <v>21</v>
      </c>
      <c r="E10">
        <v>28</v>
      </c>
      <c r="F10">
        <f>SUM(Table1[[#This Row],[CIE 1]:[CIE 3]])</f>
        <v>71</v>
      </c>
      <c r="G10">
        <f>AVERAGE(Table1[[#This Row],[CIE 1]],Table1[[#This Row],[CIE 2]],Table1[[#This Row],[CIE 3]])</f>
        <v>23.666666666666668</v>
      </c>
      <c r="H10">
        <f>(Table1[[#This Row],[TOTAL MARKS]]/120)*100</f>
        <v>59.166666666666664</v>
      </c>
      <c r="I10" t="str">
        <f>IF(AND(Table1[[#This Row],[PERCENTAGE]]&gt;=85,Table1[[#This Row],[TOTAL MARKS]]&gt;=20),"ELIGIBLE","INELIGIBLE")</f>
        <v>INELIGIBLE</v>
      </c>
      <c r="J10" t="str">
        <f>IF(Table1[[#This Row],[PERCENTAGE]]&gt;=85,"FAST LEARNER",IF(Table1[[#This Row],[PERCENTAGE]]&lt;=45,"SLOW LEARNER","-"))</f>
        <v>-</v>
      </c>
    </row>
    <row r="11" spans="1:14" x14ac:dyDescent="0.25">
      <c r="A11" t="s">
        <v>27</v>
      </c>
      <c r="B11">
        <v>78</v>
      </c>
      <c r="C11">
        <v>20</v>
      </c>
      <c r="D11">
        <v>38</v>
      </c>
      <c r="E11">
        <v>34</v>
      </c>
      <c r="F11">
        <f>SUM(Table1[[#This Row],[CIE 1]:[CIE 3]])</f>
        <v>92</v>
      </c>
      <c r="G11">
        <f>AVERAGE(Table1[[#This Row],[CIE 1]],Table1[[#This Row],[CIE 2]],Table1[[#This Row],[CIE 3]])</f>
        <v>30.666666666666668</v>
      </c>
      <c r="H11">
        <f>(Table1[[#This Row],[TOTAL MARKS]]/120)*100</f>
        <v>76.666666666666671</v>
      </c>
      <c r="I11" t="str">
        <f>IF(AND(Table1[[#This Row],[PERCENTAGE]]&gt;=85,Table1[[#This Row],[TOTAL MARKS]]&gt;=20),"ELIGIBLE","INELIGIBLE")</f>
        <v>INELIGIBLE</v>
      </c>
      <c r="J11" t="str">
        <f>IF(Table1[[#This Row],[PERCENTAGE]]&gt;=85,"FAST LEARNER",IF(Table1[[#This Row],[PERCENTAGE]]&lt;=45,"SLOW LEARNER","-"))</f>
        <v>-</v>
      </c>
    </row>
    <row r="12" spans="1:14" x14ac:dyDescent="0.25">
      <c r="A12" t="s">
        <v>28</v>
      </c>
      <c r="B12">
        <v>87</v>
      </c>
      <c r="C12">
        <v>18</v>
      </c>
      <c r="D12">
        <v>40</v>
      </c>
      <c r="E12">
        <v>39</v>
      </c>
      <c r="F12">
        <f>SUM(Table1[[#This Row],[CIE 1]:[CIE 3]])</f>
        <v>97</v>
      </c>
      <c r="G12">
        <f>AVERAGE(Table1[[#This Row],[CIE 1]],Table1[[#This Row],[CIE 2]],Table1[[#This Row],[CIE 3]])</f>
        <v>32.333333333333336</v>
      </c>
      <c r="H12">
        <f>(Table1[[#This Row],[TOTAL MARKS]]/120)*100</f>
        <v>80.833333333333329</v>
      </c>
      <c r="I12" t="str">
        <f>IF(AND(Table1[[#This Row],[PERCENTAGE]]&gt;=85,Table1[[#This Row],[TOTAL MARKS]]&gt;=20),"ELIGIBLE","INELIGIBLE")</f>
        <v>INELIGIBLE</v>
      </c>
      <c r="J12" t="str">
        <f>IF(Table1[[#This Row],[PERCENTAGE]]&gt;=85,"FAST LEARNER",IF(Table1[[#This Row],[PERCENTAGE]]&lt;=45,"SLOW LEARNER","-"))</f>
        <v>-</v>
      </c>
    </row>
    <row r="13" spans="1:14" x14ac:dyDescent="0.25">
      <c r="A13" t="s">
        <v>29</v>
      </c>
      <c r="B13">
        <v>12</v>
      </c>
      <c r="C13">
        <v>40</v>
      </c>
      <c r="D13">
        <v>21</v>
      </c>
      <c r="E13">
        <v>40</v>
      </c>
      <c r="F13">
        <f>SUM(Table1[[#This Row],[CIE 1]:[CIE 3]])</f>
        <v>101</v>
      </c>
      <c r="G13">
        <f>AVERAGE(Table1[[#This Row],[CIE 1]],Table1[[#This Row],[CIE 2]],Table1[[#This Row],[CIE 3]])</f>
        <v>33.666666666666664</v>
      </c>
      <c r="H13">
        <f>(Table1[[#This Row],[TOTAL MARKS]]/120)*100</f>
        <v>84.166666666666671</v>
      </c>
      <c r="I13" t="str">
        <f>IF(AND(Table1[[#This Row],[PERCENTAGE]]&gt;=85,Table1[[#This Row],[TOTAL MARKS]]&gt;=20),"ELIGIBLE","INELIGIBLE")</f>
        <v>INELIGIBLE</v>
      </c>
      <c r="J13" t="str">
        <f>IF(Table1[[#This Row],[PERCENTAGE]]&gt;=85,"FAST LEARNER",IF(Table1[[#This Row],[PERCENTAGE]]&lt;=45,"SLOW LEARNER","-"))</f>
        <v>-</v>
      </c>
    </row>
    <row r="14" spans="1:14" x14ac:dyDescent="0.25">
      <c r="A14" t="s">
        <v>30</v>
      </c>
      <c r="B14">
        <v>91</v>
      </c>
      <c r="C14">
        <v>17</v>
      </c>
      <c r="D14">
        <v>22</v>
      </c>
      <c r="E14">
        <v>39</v>
      </c>
      <c r="F14">
        <f>SUM(Table1[[#This Row],[CIE 1]:[CIE 3]])</f>
        <v>78</v>
      </c>
      <c r="G14">
        <f>AVERAGE(Table1[[#This Row],[CIE 1]],Table1[[#This Row],[CIE 2]],Table1[[#This Row],[CIE 3]])</f>
        <v>26</v>
      </c>
      <c r="H14">
        <f>(Table1[[#This Row],[TOTAL MARKS]]/120)*100</f>
        <v>65</v>
      </c>
      <c r="I14" t="str">
        <f>IF(AND(Table1[[#This Row],[PERCENTAGE]]&gt;=85,Table1[[#This Row],[TOTAL MARKS]]&gt;=20),"ELIGIBLE","INELIGIBLE")</f>
        <v>INELIGIBLE</v>
      </c>
      <c r="J14" t="str">
        <f>IF(Table1[[#This Row],[PERCENTAGE]]&gt;=85,"FAST LEARNER",IF(Table1[[#This Row],[PERCENTAGE]]&lt;=45,"SLOW LEARNER","-"))</f>
        <v>-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PUNEETH RAJ M R</cp:lastModifiedBy>
  <dcterms:created xsi:type="dcterms:W3CDTF">2023-04-04T13:08:33Z</dcterms:created>
  <dcterms:modified xsi:type="dcterms:W3CDTF">2023-04-05T05:28:27Z</dcterms:modified>
</cp:coreProperties>
</file>