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UNEETH RAJ M R\Desktop\pptnishant-main\pptnishant-main\"/>
    </mc:Choice>
  </mc:AlternateContent>
  <xr:revisionPtr revIDLastSave="0" documentId="13_ncr:1_{F3F3847B-3A6A-4685-85A0-A8F4995403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F14" i="1"/>
  <c r="F15" i="1"/>
  <c r="E21" i="1"/>
  <c r="E19" i="1"/>
  <c r="F3" i="1"/>
  <c r="F4" i="1"/>
  <c r="F5" i="1"/>
  <c r="F6" i="1"/>
  <c r="E18" i="1" s="1"/>
  <c r="F7" i="1"/>
  <c r="F8" i="1"/>
  <c r="F9" i="1"/>
  <c r="E20" i="1" s="1"/>
  <c r="F10" i="1"/>
  <c r="F11" i="1"/>
  <c r="F12" i="1"/>
  <c r="F2" i="1"/>
</calcChain>
</file>

<file path=xl/sharedStrings.xml><?xml version="1.0" encoding="utf-8"?>
<sst xmlns="http://schemas.openxmlformats.org/spreadsheetml/2006/main" count="60" uniqueCount="48">
  <si>
    <t>salesman_name</t>
  </si>
  <si>
    <t>product</t>
  </si>
  <si>
    <t>region</t>
  </si>
  <si>
    <t>quantity</t>
  </si>
  <si>
    <t>price</t>
  </si>
  <si>
    <t>total_sale</t>
  </si>
  <si>
    <t>AMY</t>
  </si>
  <si>
    <t>LAPTOP</t>
  </si>
  <si>
    <t>UK</t>
  </si>
  <si>
    <t>PETER</t>
  </si>
  <si>
    <t>MOBILE</t>
  </si>
  <si>
    <t>LONDON</t>
  </si>
  <si>
    <t>SMITH</t>
  </si>
  <si>
    <t>TELEVISION</t>
  </si>
  <si>
    <t>RUSSIA</t>
  </si>
  <si>
    <t>ROLLY</t>
  </si>
  <si>
    <t>HEATER</t>
  </si>
  <si>
    <t>USA</t>
  </si>
  <si>
    <t>PERTH</t>
  </si>
  <si>
    <t>DOLLY</t>
  </si>
  <si>
    <t>FRIDGE</t>
  </si>
  <si>
    <t>ITALY</t>
  </si>
  <si>
    <t>JOHN</t>
  </si>
  <si>
    <t>INDIA</t>
  </si>
  <si>
    <t>JAPAN</t>
  </si>
  <si>
    <t>CALIFORNIA</t>
  </si>
  <si>
    <t>LOFI</t>
  </si>
  <si>
    <t>AC</t>
  </si>
  <si>
    <t>CANADA</t>
  </si>
  <si>
    <t>fetch john's product price:</t>
  </si>
  <si>
    <t>the total sales done by salesman "peter" for the product "laptop":</t>
  </si>
  <si>
    <t>fetch row number for the product "television":</t>
  </si>
  <si>
    <t>the average of sales done by smith for the product mobile:</t>
  </si>
  <si>
    <t>PETER=</t>
  </si>
  <si>
    <t>sumifs(total_sales,salesman_name,"peter",product,"laptop")</t>
  </si>
  <si>
    <t>JOHN=</t>
  </si>
  <si>
    <t>vlookup(select john,select from john to the end of the table,5{index of the table})</t>
  </si>
  <si>
    <t>AVERAGE=</t>
  </si>
  <si>
    <t>averageifs(total_sales,salesman_man,"smith",product,"mobile")</t>
  </si>
  <si>
    <t>MATCH=</t>
  </si>
  <si>
    <t>match(television,full column of product,0)</t>
  </si>
  <si>
    <t>RAVI</t>
  </si>
  <si>
    <t>MUNNA</t>
  </si>
  <si>
    <t>GIRI</t>
  </si>
  <si>
    <t>MONITER</t>
  </si>
  <si>
    <t>CPU</t>
  </si>
  <si>
    <t>COMBODIA</t>
  </si>
  <si>
    <t>WAKANDA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</si>
</sst>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6" formatCode="[$₹-4009]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64" formatCode="&quot;₹&quot;\ 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Sheet1!$D$1</c:f>
              <c:strCache>
                <c:ptCount val="1"/>
                <c:pt idx="0">
                  <c:v>quantity</c:v>
                </c:pt>
              </c:strCache>
            </c:strRef>
          </c:tx>
          <c:cat>
            <c:multiLvlStrRef>
              <c:f>Sheet1!$A$2:$C$15</c:f>
              <c:multiLvlStrCache>
                <c:ptCount val="14"/>
                <c:lvl>
                  <c:pt idx="0">
                    <c:v>UK</c:v>
                  </c:pt>
                  <c:pt idx="1">
                    <c:v>LONDON</c:v>
                  </c:pt>
                  <c:pt idx="2">
                    <c:v>RUSSIA</c:v>
                  </c:pt>
                  <c:pt idx="3">
                    <c:v>USA</c:v>
                  </c:pt>
                  <c:pt idx="4">
                    <c:v>PERTH</c:v>
                  </c:pt>
                  <c:pt idx="5">
                    <c:v>ITALY</c:v>
                  </c:pt>
                  <c:pt idx="6">
                    <c:v>INDIA</c:v>
                  </c:pt>
                  <c:pt idx="7">
                    <c:v>JAPAN</c:v>
                  </c:pt>
                  <c:pt idx="8">
                    <c:v>CALIFORNIA</c:v>
                  </c:pt>
                  <c:pt idx="9">
                    <c:v>CANADA</c:v>
                  </c:pt>
                  <c:pt idx="10">
                    <c:v>INDIA</c:v>
                  </c:pt>
                  <c:pt idx="11">
                    <c:v>INDIA</c:v>
                  </c:pt>
                  <c:pt idx="12">
                    <c:v>COMBODIA</c:v>
                  </c:pt>
                  <c:pt idx="13">
                    <c:v>WAKANDA</c:v>
                  </c:pt>
                </c:lvl>
                <c:lvl>
                  <c:pt idx="0">
                    <c:v>LAPTOP</c:v>
                  </c:pt>
                  <c:pt idx="1">
                    <c:v>MOBILE</c:v>
                  </c:pt>
                  <c:pt idx="2">
                    <c:v>TELEVISION</c:v>
                  </c:pt>
                  <c:pt idx="3">
                    <c:v>HEATER</c:v>
                  </c:pt>
                  <c:pt idx="4">
                    <c:v>LAPTOP</c:v>
                  </c:pt>
                  <c:pt idx="5">
                    <c:v>FRIDGE</c:v>
                  </c:pt>
                  <c:pt idx="6">
                    <c:v>LAPTOP</c:v>
                  </c:pt>
                  <c:pt idx="7">
                    <c:v>MOBILE</c:v>
                  </c:pt>
                  <c:pt idx="8">
                    <c:v>TELEVISION</c:v>
                  </c:pt>
                  <c:pt idx="9">
                    <c:v>AC</c:v>
                  </c:pt>
                  <c:pt idx="10">
                    <c:v>HEATER</c:v>
                  </c:pt>
                  <c:pt idx="11">
                    <c:v>MONITER</c:v>
                  </c:pt>
                  <c:pt idx="12">
                    <c:v>CPU</c:v>
                  </c:pt>
                  <c:pt idx="13">
                    <c:v>CPU</c:v>
                  </c:pt>
                </c:lvl>
                <c:lvl>
                  <c:pt idx="0">
                    <c:v>AMY</c:v>
                  </c:pt>
                  <c:pt idx="1">
                    <c:v>PETER</c:v>
                  </c:pt>
                  <c:pt idx="2">
                    <c:v>SMITH</c:v>
                  </c:pt>
                  <c:pt idx="3">
                    <c:v>ROLLY</c:v>
                  </c:pt>
                  <c:pt idx="4">
                    <c:v>PETER</c:v>
                  </c:pt>
                  <c:pt idx="5">
                    <c:v>DOLLY</c:v>
                  </c:pt>
                  <c:pt idx="6">
                    <c:v>JOHN</c:v>
                  </c:pt>
                  <c:pt idx="7">
                    <c:v>SMITH</c:v>
                  </c:pt>
                  <c:pt idx="8">
                    <c:v>PETER</c:v>
                  </c:pt>
                  <c:pt idx="9">
                    <c:v>LOFI</c:v>
                  </c:pt>
                  <c:pt idx="10">
                    <c:v>JOHN</c:v>
                  </c:pt>
                  <c:pt idx="11">
                    <c:v>RAVI</c:v>
                  </c:pt>
                  <c:pt idx="12">
                    <c:v>MUNNA</c:v>
                  </c:pt>
                  <c:pt idx="13">
                    <c:v>GIRI</c:v>
                  </c:pt>
                </c:lvl>
              </c:multiLvlStrCache>
            </c:multiLvlStrRef>
          </c:cat>
          <c:val>
            <c:numRef>
              <c:f>Sheet1!$D$2:$D$15</c:f>
              <c:numCache>
                <c:formatCode>General</c:formatCode>
                <c:ptCount val="14"/>
                <c:pt idx="0">
                  <c:v>10</c:v>
                </c:pt>
                <c:pt idx="1">
                  <c:v>25</c:v>
                </c:pt>
                <c:pt idx="2">
                  <c:v>43</c:v>
                </c:pt>
                <c:pt idx="3">
                  <c:v>64</c:v>
                </c:pt>
                <c:pt idx="4">
                  <c:v>34</c:v>
                </c:pt>
                <c:pt idx="5">
                  <c:v>654</c:v>
                </c:pt>
                <c:pt idx="6">
                  <c:v>34</c:v>
                </c:pt>
                <c:pt idx="7">
                  <c:v>54</c:v>
                </c:pt>
                <c:pt idx="8">
                  <c:v>65</c:v>
                </c:pt>
                <c:pt idx="9">
                  <c:v>76</c:v>
                </c:pt>
                <c:pt idx="10">
                  <c:v>23</c:v>
                </c:pt>
                <c:pt idx="11">
                  <c:v>5</c:v>
                </c:pt>
                <c:pt idx="12">
                  <c:v>12</c:v>
                </c:pt>
                <c:pt idx="1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16-42BE-975F-E13F21D65138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price</c:v>
                </c:pt>
              </c:strCache>
            </c:strRef>
          </c:tx>
          <c:cat>
            <c:multiLvlStrRef>
              <c:f>Sheet1!$A$2:$C$15</c:f>
              <c:multiLvlStrCache>
                <c:ptCount val="14"/>
                <c:lvl>
                  <c:pt idx="0">
                    <c:v>UK</c:v>
                  </c:pt>
                  <c:pt idx="1">
                    <c:v>LONDON</c:v>
                  </c:pt>
                  <c:pt idx="2">
                    <c:v>RUSSIA</c:v>
                  </c:pt>
                  <c:pt idx="3">
                    <c:v>USA</c:v>
                  </c:pt>
                  <c:pt idx="4">
                    <c:v>PERTH</c:v>
                  </c:pt>
                  <c:pt idx="5">
                    <c:v>ITALY</c:v>
                  </c:pt>
                  <c:pt idx="6">
                    <c:v>INDIA</c:v>
                  </c:pt>
                  <c:pt idx="7">
                    <c:v>JAPAN</c:v>
                  </c:pt>
                  <c:pt idx="8">
                    <c:v>CALIFORNIA</c:v>
                  </c:pt>
                  <c:pt idx="9">
                    <c:v>CANADA</c:v>
                  </c:pt>
                  <c:pt idx="10">
                    <c:v>INDIA</c:v>
                  </c:pt>
                  <c:pt idx="11">
                    <c:v>INDIA</c:v>
                  </c:pt>
                  <c:pt idx="12">
                    <c:v>COMBODIA</c:v>
                  </c:pt>
                  <c:pt idx="13">
                    <c:v>WAKANDA</c:v>
                  </c:pt>
                </c:lvl>
                <c:lvl>
                  <c:pt idx="0">
                    <c:v>LAPTOP</c:v>
                  </c:pt>
                  <c:pt idx="1">
                    <c:v>MOBILE</c:v>
                  </c:pt>
                  <c:pt idx="2">
                    <c:v>TELEVISION</c:v>
                  </c:pt>
                  <c:pt idx="3">
                    <c:v>HEATER</c:v>
                  </c:pt>
                  <c:pt idx="4">
                    <c:v>LAPTOP</c:v>
                  </c:pt>
                  <c:pt idx="5">
                    <c:v>FRIDGE</c:v>
                  </c:pt>
                  <c:pt idx="6">
                    <c:v>LAPTOP</c:v>
                  </c:pt>
                  <c:pt idx="7">
                    <c:v>MOBILE</c:v>
                  </c:pt>
                  <c:pt idx="8">
                    <c:v>TELEVISION</c:v>
                  </c:pt>
                  <c:pt idx="9">
                    <c:v>AC</c:v>
                  </c:pt>
                  <c:pt idx="10">
                    <c:v>HEATER</c:v>
                  </c:pt>
                  <c:pt idx="11">
                    <c:v>MONITER</c:v>
                  </c:pt>
                  <c:pt idx="12">
                    <c:v>CPU</c:v>
                  </c:pt>
                  <c:pt idx="13">
                    <c:v>CPU</c:v>
                  </c:pt>
                </c:lvl>
                <c:lvl>
                  <c:pt idx="0">
                    <c:v>AMY</c:v>
                  </c:pt>
                  <c:pt idx="1">
                    <c:v>PETER</c:v>
                  </c:pt>
                  <c:pt idx="2">
                    <c:v>SMITH</c:v>
                  </c:pt>
                  <c:pt idx="3">
                    <c:v>ROLLY</c:v>
                  </c:pt>
                  <c:pt idx="4">
                    <c:v>PETER</c:v>
                  </c:pt>
                  <c:pt idx="5">
                    <c:v>DOLLY</c:v>
                  </c:pt>
                  <c:pt idx="6">
                    <c:v>JOHN</c:v>
                  </c:pt>
                  <c:pt idx="7">
                    <c:v>SMITH</c:v>
                  </c:pt>
                  <c:pt idx="8">
                    <c:v>PETER</c:v>
                  </c:pt>
                  <c:pt idx="9">
                    <c:v>LOFI</c:v>
                  </c:pt>
                  <c:pt idx="10">
                    <c:v>JOHN</c:v>
                  </c:pt>
                  <c:pt idx="11">
                    <c:v>RAVI</c:v>
                  </c:pt>
                  <c:pt idx="12">
                    <c:v>MUNNA</c:v>
                  </c:pt>
                  <c:pt idx="13">
                    <c:v>GIRI</c:v>
                  </c:pt>
                </c:lvl>
              </c:multiLvlStrCache>
            </c:multiLvlStrRef>
          </c:cat>
          <c:val>
            <c:numRef>
              <c:f>Sheet1!$E$2:$E$15</c:f>
              <c:numCache>
                <c:formatCode>"₹"\ #,##0.00</c:formatCode>
                <c:ptCount val="14"/>
                <c:pt idx="0">
                  <c:v>324234</c:v>
                </c:pt>
                <c:pt idx="1">
                  <c:v>1900908</c:v>
                </c:pt>
                <c:pt idx="2">
                  <c:v>42356</c:v>
                </c:pt>
                <c:pt idx="3">
                  <c:v>6477</c:v>
                </c:pt>
                <c:pt idx="4">
                  <c:v>987989797</c:v>
                </c:pt>
                <c:pt idx="5">
                  <c:v>76464566</c:v>
                </c:pt>
                <c:pt idx="6">
                  <c:v>467657</c:v>
                </c:pt>
                <c:pt idx="7">
                  <c:v>587646</c:v>
                </c:pt>
                <c:pt idx="8">
                  <c:v>6868</c:v>
                </c:pt>
                <c:pt idx="9">
                  <c:v>64646</c:v>
                </c:pt>
                <c:pt idx="10">
                  <c:v>44</c:v>
                </c:pt>
                <c:pt idx="11">
                  <c:v>3000</c:v>
                </c:pt>
                <c:pt idx="12">
                  <c:v>4563</c:v>
                </c:pt>
                <c:pt idx="13">
                  <c:v>4321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16-42BE-975F-E13F21D65138}"/>
            </c:ext>
          </c:extLst>
        </c:ser>
        <c:ser>
          <c:idx val="2"/>
          <c:order val="2"/>
          <c:tx>
            <c:strRef>
              <c:f>Sheet1!$F$1</c:f>
              <c:strCache>
                <c:ptCount val="1"/>
                <c:pt idx="0">
                  <c:v>total_sale</c:v>
                </c:pt>
              </c:strCache>
            </c:strRef>
          </c:tx>
          <c:cat>
            <c:multiLvlStrRef>
              <c:f>Sheet1!$A$2:$C$15</c:f>
              <c:multiLvlStrCache>
                <c:ptCount val="14"/>
                <c:lvl>
                  <c:pt idx="0">
                    <c:v>UK</c:v>
                  </c:pt>
                  <c:pt idx="1">
                    <c:v>LONDON</c:v>
                  </c:pt>
                  <c:pt idx="2">
                    <c:v>RUSSIA</c:v>
                  </c:pt>
                  <c:pt idx="3">
                    <c:v>USA</c:v>
                  </c:pt>
                  <c:pt idx="4">
                    <c:v>PERTH</c:v>
                  </c:pt>
                  <c:pt idx="5">
                    <c:v>ITALY</c:v>
                  </c:pt>
                  <c:pt idx="6">
                    <c:v>INDIA</c:v>
                  </c:pt>
                  <c:pt idx="7">
                    <c:v>JAPAN</c:v>
                  </c:pt>
                  <c:pt idx="8">
                    <c:v>CALIFORNIA</c:v>
                  </c:pt>
                  <c:pt idx="9">
                    <c:v>CANADA</c:v>
                  </c:pt>
                  <c:pt idx="10">
                    <c:v>INDIA</c:v>
                  </c:pt>
                  <c:pt idx="11">
                    <c:v>INDIA</c:v>
                  </c:pt>
                  <c:pt idx="12">
                    <c:v>COMBODIA</c:v>
                  </c:pt>
                  <c:pt idx="13">
                    <c:v>WAKANDA</c:v>
                  </c:pt>
                </c:lvl>
                <c:lvl>
                  <c:pt idx="0">
                    <c:v>LAPTOP</c:v>
                  </c:pt>
                  <c:pt idx="1">
                    <c:v>MOBILE</c:v>
                  </c:pt>
                  <c:pt idx="2">
                    <c:v>TELEVISION</c:v>
                  </c:pt>
                  <c:pt idx="3">
                    <c:v>HEATER</c:v>
                  </c:pt>
                  <c:pt idx="4">
                    <c:v>LAPTOP</c:v>
                  </c:pt>
                  <c:pt idx="5">
                    <c:v>FRIDGE</c:v>
                  </c:pt>
                  <c:pt idx="6">
                    <c:v>LAPTOP</c:v>
                  </c:pt>
                  <c:pt idx="7">
                    <c:v>MOBILE</c:v>
                  </c:pt>
                  <c:pt idx="8">
                    <c:v>TELEVISION</c:v>
                  </c:pt>
                  <c:pt idx="9">
                    <c:v>AC</c:v>
                  </c:pt>
                  <c:pt idx="10">
                    <c:v>HEATER</c:v>
                  </c:pt>
                  <c:pt idx="11">
                    <c:v>MONITER</c:v>
                  </c:pt>
                  <c:pt idx="12">
                    <c:v>CPU</c:v>
                  </c:pt>
                  <c:pt idx="13">
                    <c:v>CPU</c:v>
                  </c:pt>
                </c:lvl>
                <c:lvl>
                  <c:pt idx="0">
                    <c:v>AMY</c:v>
                  </c:pt>
                  <c:pt idx="1">
                    <c:v>PETER</c:v>
                  </c:pt>
                  <c:pt idx="2">
                    <c:v>SMITH</c:v>
                  </c:pt>
                  <c:pt idx="3">
                    <c:v>ROLLY</c:v>
                  </c:pt>
                  <c:pt idx="4">
                    <c:v>PETER</c:v>
                  </c:pt>
                  <c:pt idx="5">
                    <c:v>DOLLY</c:v>
                  </c:pt>
                  <c:pt idx="6">
                    <c:v>JOHN</c:v>
                  </c:pt>
                  <c:pt idx="7">
                    <c:v>SMITH</c:v>
                  </c:pt>
                  <c:pt idx="8">
                    <c:v>PETER</c:v>
                  </c:pt>
                  <c:pt idx="9">
                    <c:v>LOFI</c:v>
                  </c:pt>
                  <c:pt idx="10">
                    <c:v>JOHN</c:v>
                  </c:pt>
                  <c:pt idx="11">
                    <c:v>RAVI</c:v>
                  </c:pt>
                  <c:pt idx="12">
                    <c:v>MUNNA</c:v>
                  </c:pt>
                  <c:pt idx="13">
                    <c:v>GIRI</c:v>
                  </c:pt>
                </c:lvl>
              </c:multiLvlStrCache>
            </c:multiLvlStrRef>
          </c:cat>
          <c:val>
            <c:numRef>
              <c:f>Sheet1!$F$2:$F$15</c:f>
              <c:numCache>
                <c:formatCode>"₹"\ #,##0.00</c:formatCode>
                <c:ptCount val="14"/>
                <c:pt idx="0">
                  <c:v>3242340</c:v>
                </c:pt>
                <c:pt idx="1">
                  <c:v>47522700</c:v>
                </c:pt>
                <c:pt idx="2">
                  <c:v>1821308</c:v>
                </c:pt>
                <c:pt idx="3">
                  <c:v>414528</c:v>
                </c:pt>
                <c:pt idx="4">
                  <c:v>33591653098</c:v>
                </c:pt>
                <c:pt idx="5">
                  <c:v>50007826164</c:v>
                </c:pt>
                <c:pt idx="6">
                  <c:v>15900338</c:v>
                </c:pt>
                <c:pt idx="7">
                  <c:v>31732884</c:v>
                </c:pt>
                <c:pt idx="8">
                  <c:v>446420</c:v>
                </c:pt>
                <c:pt idx="9">
                  <c:v>4913096</c:v>
                </c:pt>
                <c:pt idx="10">
                  <c:v>1012</c:v>
                </c:pt>
                <c:pt idx="11" formatCode="[$₹-4009]\ #,##0.00">
                  <c:v>15000</c:v>
                </c:pt>
                <c:pt idx="12" formatCode="[$₹-4009]\ #,##0.00">
                  <c:v>54756</c:v>
                </c:pt>
                <c:pt idx="13" formatCode="[$₹-4009]\ #,##0.00">
                  <c:v>99383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16-42BE-975F-E13F21D651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209550</xdr:colOff>
      <xdr:row>17</xdr:row>
      <xdr:rowOff>114300</xdr:rowOff>
    </xdr:from>
    <xdr:to>
      <xdr:col>13</xdr:col>
      <xdr:colOff>514350</xdr:colOff>
      <xdr:row>32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15" totalsRowShown="0">
  <autoFilter ref="A1:F15" xr:uid="{00000000-0009-0000-0100-000001000000}"/>
  <tableColumns count="6">
    <tableColumn id="1" xr3:uid="{00000000-0010-0000-0000-000001000000}" name="salesman_name"/>
    <tableColumn id="2" xr3:uid="{00000000-0010-0000-0000-000002000000}" name="product"/>
    <tableColumn id="3" xr3:uid="{00000000-0010-0000-0000-000003000000}" name="region"/>
    <tableColumn id="4" xr3:uid="{00000000-0010-0000-0000-000004000000}" name="quantity"/>
    <tableColumn id="5" xr3:uid="{00000000-0010-0000-0000-000005000000}" name="price" dataDxfId="1"/>
    <tableColumn id="6" xr3:uid="{00000000-0010-0000-0000-000006000000}" name="total_sale" dataDxfId="0">
      <calculatedColumnFormula>(Table1[[#This Row],[quantity]]*Table1[[#This Row],[price]])</calculatedColumnFormula>
    </tableColumn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K6" sqref="K6"/>
    </sheetView>
  </sheetViews>
  <sheetFormatPr defaultRowHeight="15" x14ac:dyDescent="0.25"/>
  <cols>
    <col min="1" max="1" width="17.42578125" customWidth="1"/>
    <col min="2" max="2" width="16.5703125" customWidth="1"/>
    <col min="3" max="3" width="15.5703125" customWidth="1"/>
    <col min="4" max="4" width="11" customWidth="1"/>
    <col min="5" max="5" width="16.7109375" customWidth="1"/>
    <col min="6" max="6" width="20.5703125" customWidth="1"/>
    <col min="8" max="8" width="12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33</v>
      </c>
      <c r="I1" t="s">
        <v>34</v>
      </c>
    </row>
    <row r="2" spans="1:9" x14ac:dyDescent="0.25">
      <c r="A2" t="s">
        <v>6</v>
      </c>
      <c r="B2" t="s">
        <v>7</v>
      </c>
      <c r="C2" t="s">
        <v>8</v>
      </c>
      <c r="D2">
        <v>10</v>
      </c>
      <c r="E2" s="1">
        <v>324234</v>
      </c>
      <c r="F2" s="1">
        <f>(Table1[[#This Row],[quantity]]*Table1[[#This Row],[price]])</f>
        <v>3242340</v>
      </c>
    </row>
    <row r="3" spans="1:9" x14ac:dyDescent="0.25">
      <c r="A3" t="s">
        <v>9</v>
      </c>
      <c r="B3" t="s">
        <v>10</v>
      </c>
      <c r="C3" t="s">
        <v>11</v>
      </c>
      <c r="D3">
        <v>25</v>
      </c>
      <c r="E3" s="1">
        <v>1900908</v>
      </c>
      <c r="F3" s="1">
        <f>(Table1[[#This Row],[quantity]]*Table1[[#This Row],[price]])</f>
        <v>47522700</v>
      </c>
      <c r="H3" t="s">
        <v>35</v>
      </c>
      <c r="I3" t="s">
        <v>36</v>
      </c>
    </row>
    <row r="4" spans="1:9" x14ac:dyDescent="0.25">
      <c r="A4" t="s">
        <v>12</v>
      </c>
      <c r="B4" t="s">
        <v>13</v>
      </c>
      <c r="C4" t="s">
        <v>14</v>
      </c>
      <c r="D4">
        <v>43</v>
      </c>
      <c r="E4" s="1">
        <v>42356</v>
      </c>
      <c r="F4" s="1">
        <f>(Table1[[#This Row],[quantity]]*Table1[[#This Row],[price]])</f>
        <v>1821308</v>
      </c>
    </row>
    <row r="5" spans="1:9" x14ac:dyDescent="0.25">
      <c r="A5" t="s">
        <v>15</v>
      </c>
      <c r="B5" t="s">
        <v>16</v>
      </c>
      <c r="C5" t="s">
        <v>17</v>
      </c>
      <c r="D5">
        <v>64</v>
      </c>
      <c r="E5" s="1">
        <v>6477</v>
      </c>
      <c r="F5" s="1">
        <f>(Table1[[#This Row],[quantity]]*Table1[[#This Row],[price]])</f>
        <v>414528</v>
      </c>
      <c r="H5" t="s">
        <v>37</v>
      </c>
      <c r="I5" t="s">
        <v>38</v>
      </c>
    </row>
    <row r="6" spans="1:9" x14ac:dyDescent="0.25">
      <c r="A6" t="s">
        <v>9</v>
      </c>
      <c r="B6" t="s">
        <v>7</v>
      </c>
      <c r="C6" t="s">
        <v>18</v>
      </c>
      <c r="D6">
        <v>34</v>
      </c>
      <c r="E6" s="1">
        <v>987989797</v>
      </c>
      <c r="F6" s="1">
        <f>(Table1[[#This Row],[quantity]]*Table1[[#This Row],[price]])</f>
        <v>33591653098</v>
      </c>
    </row>
    <row r="7" spans="1:9" x14ac:dyDescent="0.25">
      <c r="A7" t="s">
        <v>19</v>
      </c>
      <c r="B7" t="s">
        <v>20</v>
      </c>
      <c r="C7" t="s">
        <v>21</v>
      </c>
      <c r="D7">
        <v>654</v>
      </c>
      <c r="E7" s="1">
        <v>76464566</v>
      </c>
      <c r="F7" s="1">
        <f>(Table1[[#This Row],[quantity]]*Table1[[#This Row],[price]])</f>
        <v>50007826164</v>
      </c>
      <c r="H7" t="s">
        <v>39</v>
      </c>
      <c r="I7" t="s">
        <v>40</v>
      </c>
    </row>
    <row r="8" spans="1:9" x14ac:dyDescent="0.25">
      <c r="A8" t="s">
        <v>22</v>
      </c>
      <c r="B8" t="s">
        <v>7</v>
      </c>
      <c r="C8" t="s">
        <v>23</v>
      </c>
      <c r="D8">
        <v>34</v>
      </c>
      <c r="E8" s="1">
        <v>467657</v>
      </c>
      <c r="F8" s="1">
        <f>(Table1[[#This Row],[quantity]]*Table1[[#This Row],[price]])</f>
        <v>15900338</v>
      </c>
    </row>
    <row r="9" spans="1:9" x14ac:dyDescent="0.25">
      <c r="A9" t="s">
        <v>12</v>
      </c>
      <c r="B9" t="s">
        <v>10</v>
      </c>
      <c r="C9" t="s">
        <v>24</v>
      </c>
      <c r="D9">
        <v>54</v>
      </c>
      <c r="E9" s="1">
        <v>587646</v>
      </c>
      <c r="F9" s="1">
        <f>(Table1[[#This Row],[quantity]]*Table1[[#This Row],[price]])</f>
        <v>31732884</v>
      </c>
    </row>
    <row r="10" spans="1:9" x14ac:dyDescent="0.25">
      <c r="A10" t="s">
        <v>9</v>
      </c>
      <c r="B10" t="s">
        <v>13</v>
      </c>
      <c r="C10" t="s">
        <v>25</v>
      </c>
      <c r="D10">
        <v>65</v>
      </c>
      <c r="E10" s="1">
        <v>6868</v>
      </c>
      <c r="F10" s="1">
        <f>(Table1[[#This Row],[quantity]]*Table1[[#This Row],[price]])</f>
        <v>446420</v>
      </c>
    </row>
    <row r="11" spans="1:9" x14ac:dyDescent="0.25">
      <c r="A11" t="s">
        <v>26</v>
      </c>
      <c r="B11" t="s">
        <v>27</v>
      </c>
      <c r="C11" t="s">
        <v>28</v>
      </c>
      <c r="D11">
        <v>76</v>
      </c>
      <c r="E11" s="1">
        <v>64646</v>
      </c>
      <c r="F11" s="1">
        <f>(Table1[[#This Row],[quantity]]*Table1[[#This Row],[price]])</f>
        <v>4913096</v>
      </c>
    </row>
    <row r="12" spans="1:9" x14ac:dyDescent="0.25">
      <c r="A12" t="s">
        <v>22</v>
      </c>
      <c r="B12" t="s">
        <v>16</v>
      </c>
      <c r="C12" t="s">
        <v>23</v>
      </c>
      <c r="D12">
        <v>23</v>
      </c>
      <c r="E12" s="1">
        <v>44</v>
      </c>
      <c r="F12" s="1">
        <f>(Table1[[#This Row],[quantity]]*Table1[[#This Row],[price]])</f>
        <v>1012</v>
      </c>
    </row>
    <row r="13" spans="1:9" x14ac:dyDescent="0.25">
      <c r="A13" t="s">
        <v>41</v>
      </c>
      <c r="B13" t="s">
        <v>44</v>
      </c>
      <c r="C13" t="s">
        <v>23</v>
      </c>
      <c r="D13">
        <v>5</v>
      </c>
      <c r="E13" s="1">
        <v>3000</v>
      </c>
      <c r="F13" s="2">
        <f>(Table1[[#This Row],[quantity]]*Table1[[#This Row],[price]])</f>
        <v>15000</v>
      </c>
    </row>
    <row r="14" spans="1:9" x14ac:dyDescent="0.25">
      <c r="A14" t="s">
        <v>42</v>
      </c>
      <c r="B14" t="s">
        <v>45</v>
      </c>
      <c r="C14" t="s">
        <v>46</v>
      </c>
      <c r="D14">
        <v>12</v>
      </c>
      <c r="E14" s="1">
        <v>4563</v>
      </c>
      <c r="F14" s="2">
        <f>(Table1[[#This Row],[quantity]]*Table1[[#This Row],[price]])</f>
        <v>54756</v>
      </c>
    </row>
    <row r="15" spans="1:9" x14ac:dyDescent="0.25">
      <c r="A15" t="s">
        <v>43</v>
      </c>
      <c r="B15" t="s">
        <v>45</v>
      </c>
      <c r="C15" t="s">
        <v>47</v>
      </c>
      <c r="D15">
        <v>23</v>
      </c>
      <c r="E15" s="1">
        <v>4321</v>
      </c>
      <c r="F15" s="2">
        <f>(Table1[[#This Row],[quantity]]*Table1[[#This Row],[price]])</f>
        <v>99383</v>
      </c>
    </row>
    <row r="18" spans="1:5" x14ac:dyDescent="0.25">
      <c r="A18" t="s">
        <v>30</v>
      </c>
      <c r="E18">
        <f>SUMIFS(Table1[total_sale],Table1[salesman_name],"PETER",Table1[product],"LAPTOP")</f>
        <v>33591653098</v>
      </c>
    </row>
    <row r="19" spans="1:5" x14ac:dyDescent="0.25">
      <c r="A19" t="s">
        <v>29</v>
      </c>
      <c r="E19">
        <f>VLOOKUP(A8,A8:F12,5)</f>
        <v>467657</v>
      </c>
    </row>
    <row r="20" spans="1:5" x14ac:dyDescent="0.25">
      <c r="A20" t="s">
        <v>32</v>
      </c>
      <c r="E20">
        <f>AVERAGEIFS(Table1[total_sale],Table1[salesman_name],"SMITH",Table1[product],"MOBILE")</f>
        <v>31732884</v>
      </c>
    </row>
    <row r="21" spans="1:5" x14ac:dyDescent="0.25">
      <c r="A21" t="s">
        <v>31</v>
      </c>
      <c r="E21">
        <f>MATCH(B4,Table1[product],0)</f>
        <v>3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PUNEETH RAJ M R</cp:lastModifiedBy>
  <dcterms:created xsi:type="dcterms:W3CDTF">2023-04-04T13:50:50Z</dcterms:created>
  <dcterms:modified xsi:type="dcterms:W3CDTF">2023-04-05T05:18:15Z</dcterms:modified>
</cp:coreProperties>
</file>